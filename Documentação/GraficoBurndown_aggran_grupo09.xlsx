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6d47aa5dd819dd88/Desktop/Aggran-Grupo-9/Documentação/"/>
    </mc:Choice>
  </mc:AlternateContent>
  <xr:revisionPtr revIDLastSave="15" documentId="8_{CC4E9840-4199-44F7-BC07-94FB6D44FCF2}" xr6:coauthVersionLast="47" xr6:coauthVersionMax="47" xr10:uidLastSave="{92BBE49C-72CE-4A53-92C8-83C5FCE7CB49}"/>
  <bookViews>
    <workbookView xWindow="-108" yWindow="-108" windowWidth="23256" windowHeight="13896" xr2:uid="{A7B2C129-0DC2-486F-98D2-A2B5534F11BE}"/>
  </bookViews>
  <sheets>
    <sheet name="Backlog_AGGRAN" sheetId="5" r:id="rId1"/>
    <sheet name="Lista - validações" sheetId="4" r:id="rId2"/>
  </sheets>
  <definedNames>
    <definedName name="DadosExternos_3" localSheetId="1" hidden="1">'Lista - validações'!$A$8:$C$14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5" l="1"/>
  <c r="L6" i="5"/>
  <c r="M5" i="5"/>
  <c r="C12" i="4" s="1"/>
  <c r="C22" i="4" s="1"/>
  <c r="K4" i="5"/>
  <c r="B23" i="4"/>
  <c r="K7" i="5"/>
  <c r="C10" i="4"/>
  <c r="C21" i="4" s="1"/>
  <c r="K3" i="5"/>
  <c r="K6" i="5"/>
  <c r="K5" i="5"/>
  <c r="L5" i="5"/>
  <c r="L4" i="5"/>
  <c r="N6" i="5" l="1"/>
  <c r="C14" i="4"/>
  <c r="C23" i="4" s="1"/>
  <c r="N5" i="5"/>
  <c r="C11" i="4"/>
  <c r="B22" i="4" s="1"/>
  <c r="N4" i="5"/>
  <c r="C9" i="4"/>
  <c r="B2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B110812-14FA-4A9E-924D-1B4E10C959F8}" keepAlive="1" name="Consulta - Tabela" description="Conexão com a consulta 'Tabela' na pasta de trabalho." type="5" refreshedVersion="0" background="1">
    <dbPr connection="Provider=Microsoft.Mashup.OleDb.1;Data Source=$Workbook$;Location=Tabela;Extended Properties=&quot;&quot;" command="SELECT * FROM [Tabela]"/>
  </connection>
  <connection id="2" xr16:uid="{F9D0C35C-43FB-41E3-B368-FBACDB463B1A}" keepAlive="1" name="Consulta - Tabela (2)" description="Conexão com a consulta 'Tabela (2)' na pasta de trabalho." type="5" refreshedVersion="8" background="1" saveData="1">
    <dbPr connection="Provider=Microsoft.Mashup.OleDb.1;Data Source=$Workbook$;Location=&quot;Tabela (2)&quot;;Extended Properties=&quot;&quot;" command="SELECT * FROM [Tabela (2)]"/>
  </connection>
  <connection id="3" xr16:uid="{A7E560AE-8C9D-4557-B8D1-88DA7C548221}" keepAlive="1" name="Consulta - Tabela1" description="Conexão com a consulta 'Tabela1' na pasta de trabalho." type="5" refreshedVersion="8" background="1" saveData="1">
    <dbPr connection="Provider=Microsoft.Mashup.OleDb.1;Data Source=$Workbook$;Location=Tabela1;Extended Properties=&quot;&quot;" command="SELECT * FROM [Tabela1]"/>
  </connection>
</connections>
</file>

<file path=xl/sharedStrings.xml><?xml version="1.0" encoding="utf-8"?>
<sst xmlns="http://schemas.openxmlformats.org/spreadsheetml/2006/main" count="258" uniqueCount="98">
  <si>
    <t>Aggran</t>
  </si>
  <si>
    <t>REQUISITOS</t>
  </si>
  <si>
    <t>DESCRIÇÃO</t>
  </si>
  <si>
    <t>CLASSIFICAÇÃO</t>
  </si>
  <si>
    <t>TAMANHO</t>
  </si>
  <si>
    <t>TAM(#)</t>
  </si>
  <si>
    <t>PRIORIDADE</t>
  </si>
  <si>
    <t>SPRINT</t>
  </si>
  <si>
    <t>STATUS</t>
  </si>
  <si>
    <t>Coluna1</t>
  </si>
  <si>
    <t>PONTOS FIBONACCI</t>
  </si>
  <si>
    <t>PLANEJADO</t>
  </si>
  <si>
    <t>ENTREGUE</t>
  </si>
  <si>
    <t>PENDENTE</t>
  </si>
  <si>
    <t>Documentação</t>
  </si>
  <si>
    <t>Criar documentação inicial do projeto</t>
  </si>
  <si>
    <t>Desejável</t>
  </si>
  <si>
    <t>M</t>
  </si>
  <si>
    <t>SP1</t>
  </si>
  <si>
    <t>TOTAL</t>
  </si>
  <si>
    <t>Código do arduino</t>
  </si>
  <si>
    <t>Conterá o código para captar o registro de umidade do solo</t>
  </si>
  <si>
    <t>Essencial</t>
  </si>
  <si>
    <t>P</t>
  </si>
  <si>
    <t>Prótotipo do site institucional - Figma</t>
  </si>
  <si>
    <t>Desenvolver o protótipo do site institucional no figma - No qual, contém página de login, cadastro, sobre a empresa, página Tecnologia e Dashboard.</t>
  </si>
  <si>
    <t>SP2</t>
  </si>
  <si>
    <t>Calculadora financeira</t>
  </si>
  <si>
    <t>Criar a calculadora financeira para simular os prejuízos inerentes as queimadas em propriedades rurais</t>
  </si>
  <si>
    <t>Importante</t>
  </si>
  <si>
    <t>SP3</t>
  </si>
  <si>
    <t>Ferramenta de Gestão</t>
  </si>
  <si>
    <t>Criar o ambiente de gestão no Trello para organização da equipe</t>
  </si>
  <si>
    <t>MÉDIA</t>
  </si>
  <si>
    <t>Ambiente de Virtualização</t>
  </si>
  <si>
    <t>Criar ambiente de virtualização no VirtualBox com Lubuntu para hospedar a aplicação</t>
  </si>
  <si>
    <t>GG</t>
  </si>
  <si>
    <t>Sistema de Gerenciamento de Banco de Dados</t>
  </si>
  <si>
    <t>Criar as tabelas no Banco de Dados MySQL</t>
  </si>
  <si>
    <t>G</t>
  </si>
  <si>
    <t>Projeto criado e configurado no GitHub</t>
  </si>
  <si>
    <t>Criar repositório no GitHub para colocar todas versões do projeto</t>
  </si>
  <si>
    <t>PP</t>
  </si>
  <si>
    <t>Diagrama de Visão de Negócio</t>
  </si>
  <si>
    <t>Desenvolver Diagrama de visão de negócio</t>
  </si>
  <si>
    <t>Atualizar a documentação</t>
  </si>
  <si>
    <t>Homepage do site institucional</t>
  </si>
  <si>
    <t>Conterá a solução, a calculadora financeira e comentário dos nossos clientes, sendo criado em Javascript, HTML e CSS</t>
  </si>
  <si>
    <t>Modelagem Lógica</t>
  </si>
  <si>
    <t>Criar a modelagem lógica do banco de dados</t>
  </si>
  <si>
    <t>Página do Dashboard</t>
  </si>
  <si>
    <t>Desenvolver detalhes do painel de dados, incluindo quais métricas e indicadores (KPIs) serão exibidos</t>
  </si>
  <si>
    <t>Diagrama de Solução</t>
  </si>
  <si>
    <t xml:space="preserve">Desenvolver Diagrama de solução </t>
  </si>
  <si>
    <t>MySQL no servidor de dados</t>
  </si>
  <si>
    <t>Realizar a instalação do MySQL no ambiente de virtualização</t>
  </si>
  <si>
    <t>Tela de login</t>
  </si>
  <si>
    <t xml:space="preserve">Criar a tela de login do site institucional </t>
  </si>
  <si>
    <t>Tela de Cadastro</t>
  </si>
  <si>
    <t xml:space="preserve">Criar a tela de cadastro do site institucional </t>
  </si>
  <si>
    <t>Simular integração do sistema</t>
  </si>
  <si>
    <t>Teste com Sensor do Projeto + Gráficos</t>
  </si>
  <si>
    <t>Será integrado a API que realizará selects que serão utilizados para a criação dos gráficos e mostrados no site</t>
  </si>
  <si>
    <t>Página Fale conosco</t>
  </si>
  <si>
    <t>Conterá nome, e-mail e mensagem para que a pessoa interessada possa entrar em contato</t>
  </si>
  <si>
    <t>Página Tecnologia</t>
  </si>
  <si>
    <t>Conterá informações sobre a solução oferecida referente ao sensor e dashboard</t>
  </si>
  <si>
    <t>PESO</t>
  </si>
  <si>
    <t>Atributo</t>
  </si>
  <si>
    <t>Valor</t>
  </si>
  <si>
    <t>Total</t>
  </si>
  <si>
    <t>API integrado ao site - WEB-DATA-VIZ</t>
  </si>
  <si>
    <t>Manual de instalação</t>
  </si>
  <si>
    <t>Conterá o manual de como a nossa solução IoT deverá ser instalada após recebe-la</t>
  </si>
  <si>
    <t>Documentação final do projeto</t>
  </si>
  <si>
    <t>No qual, estará comtodas as informações referentes ao projeto em sua última Sprint</t>
  </si>
  <si>
    <t>PPT de apresentação do grupo</t>
  </si>
  <si>
    <t>Será a versão final da nossa apresentação, que conterá todos os detalhes do projeto</t>
  </si>
  <si>
    <t>Site institucional - versão final</t>
  </si>
  <si>
    <t>Conterá neste momento todas as páginas e será conectado a nossa API</t>
  </si>
  <si>
    <t>Cadastro, login e dashboard, conectado ao BD</t>
  </si>
  <si>
    <t>As páginas citadas estarão conectadas ao banco de dados, com a implementação da API web-data-viz</t>
  </si>
  <si>
    <t>Fluxograma do processo de atendimento do suporte</t>
  </si>
  <si>
    <t>Conterá o paaso a passo a ser seguido para o suporte quando ocorrer algum incidente, problema ou requisição do nosso cliente</t>
  </si>
  <si>
    <t>Ferramenta do processo de atendimento do suporte - Jira</t>
  </si>
  <si>
    <t>Será o nosso help desk, no qual, é o meio de comunicação do nosso cliente e o nosso suporte</t>
  </si>
  <si>
    <t>GMUD - Documento de gestão de Mudanças</t>
  </si>
  <si>
    <t>Conterá os passos que deverão ser seguidos quando precisar realizar alguma mudança de TI, sendo eles, Emergencial, normal e padrão</t>
  </si>
  <si>
    <t>Modelagem lógica - final</t>
  </si>
  <si>
    <t>Conterá nossas tabelas referentes ao nosso modelo de negócio, para uma melhor vizualização do nosso BD</t>
  </si>
  <si>
    <t>Tabelas criadas</t>
  </si>
  <si>
    <t>Tabelas referentes ao nosso modelo de negócio já funcionando e com os inserts necessários para a realização de insight</t>
  </si>
  <si>
    <t>Views para dashboard</t>
  </si>
  <si>
    <t>No qual, será os selects necessário para a realização da vizualização no dashboard</t>
  </si>
  <si>
    <t>Solução IoT - conectada e funcionado</t>
  </si>
  <si>
    <t>É a parte do hardware do nosso projeto, será necessária para a coleta de dados</t>
  </si>
  <si>
    <t>Distribuição em duas máquinas</t>
  </si>
  <si>
    <t>No qual, o nosso projeto será separado em duas máquinas, uma que conterá a coleta de dados e arduino e a outra será para o BD e a aplicação na VM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</si>
</sst>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0"/>
      <color theme="1"/>
      <name val="Liberation Sans"/>
      <charset val="1"/>
    </font>
    <font>
      <sz val="48"/>
      <color rgb="FF339933"/>
      <name val="Anton"/>
    </font>
    <font>
      <sz val="11"/>
      <color rgb="FF000000"/>
      <name val="Aptos Narrow"/>
      <family val="2"/>
      <scheme val="minor"/>
    </font>
    <font>
      <sz val="10"/>
      <color rgb="FF000000"/>
      <name val="Liberation Sans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theme="9"/>
      </patternFill>
    </fill>
    <fill>
      <patternFill patternType="solid">
        <fgColor rgb="FF339933"/>
        <bgColor indexed="64"/>
      </patternFill>
    </fill>
    <fill>
      <patternFill patternType="solid">
        <fgColor rgb="FF339933"/>
        <bgColor theme="9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theme="9"/>
      </top>
      <bottom/>
      <diagonal/>
    </border>
    <border>
      <left/>
      <right style="thin">
        <color theme="9"/>
      </right>
      <top style="thin">
        <color theme="9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vertical="center"/>
    </xf>
    <xf numFmtId="0" fontId="0" fillId="3" borderId="1" xfId="0" applyFill="1" applyBorder="1"/>
    <xf numFmtId="0" fontId="0" fillId="3" borderId="5" xfId="0" applyFill="1" applyBorder="1"/>
    <xf numFmtId="0" fontId="0" fillId="0" borderId="4" xfId="0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1" fillId="6" borderId="3" xfId="0" applyFont="1" applyFill="1" applyBorder="1" applyAlignment="1">
      <alignment horizont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0" fillId="0" borderId="6" xfId="0" applyBorder="1" applyAlignment="1">
      <alignment horizont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/>
    </xf>
    <xf numFmtId="0" fontId="0" fillId="3" borderId="0" xfId="0" applyFill="1"/>
    <xf numFmtId="0" fontId="1" fillId="5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9" borderId="8" xfId="0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/>
    </xf>
    <xf numFmtId="2" fontId="1" fillId="6" borderId="2" xfId="0" applyNumberFormat="1" applyFont="1" applyFill="1" applyBorder="1" applyAlignment="1">
      <alignment horizontal="center"/>
    </xf>
    <xf numFmtId="0" fontId="0" fillId="4" borderId="7" xfId="0" quotePrefix="1" applyFill="1" applyBorder="1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</cellXfs>
  <cellStyles count="1">
    <cellStyle name="Normal" xfId="0" builtinId="0"/>
  </cellStyles>
  <dxfs count="19"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9" tint="0.39997558519241921"/>
        </left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>
        <bottom style="thin">
          <color theme="9" tint="0.39997558519241921"/>
        </bottom>
      </border>
    </dxf>
    <dxf>
      <fill>
        <patternFill>
          <fgColor indexed="64"/>
          <bgColor rgb="FF33993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9" tint="0.39997558519241921"/>
        </left>
        <right style="thin">
          <color theme="9" tint="0.39997558519241921"/>
        </right>
        <top/>
        <bottom/>
      </border>
    </dxf>
  </dxfs>
  <tableStyles count="0" defaultTableStyle="TableStyleMedium2" defaultPivotStyle="PivotStyleLight16"/>
  <colors>
    <mruColors>
      <color rgb="FF339933"/>
      <color rgb="FF009900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 sz="1100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Planejado</a:t>
            </a:r>
            <a:r>
              <a:rPr lang="pt-BR" sz="1100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x entregue</a:t>
            </a:r>
            <a:endParaRPr lang="pt-BR" sz="1100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'Lista - validações'!$B$20</c:f>
              <c:strCache>
                <c:ptCount val="1"/>
                <c:pt idx="0">
                  <c:v>PLANEJADO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1"/>
              <c:tx>
                <c:rich>
                  <a:bodyPr/>
                  <a:lstStyle/>
                  <a:p>
                    <a:fld id="{27918290-74AB-4A62-8AFD-CB376FE92AE1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913-43CE-9209-425428CD930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591C4C1-E39A-4CB8-96EE-E6E4BB16E2A6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3-E913-43CE-9209-425428CD93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>
                        <a:shade val="76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'Lista - validações'!$A$21:$A$23</c:f>
              <c:strCache>
                <c:ptCount val="3"/>
                <c:pt idx="0">
                  <c:v>SP1</c:v>
                </c:pt>
                <c:pt idx="1">
                  <c:v>SP2</c:v>
                </c:pt>
                <c:pt idx="2">
                  <c:v>SP3</c:v>
                </c:pt>
              </c:strCache>
            </c:strRef>
          </c:cat>
          <c:val>
            <c:numRef>
              <c:f>'Lista - validações'!$B$21:$B$23</c:f>
              <c:numCache>
                <c:formatCode>General</c:formatCode>
                <c:ptCount val="3"/>
                <c:pt idx="0">
                  <c:v>79</c:v>
                </c:pt>
                <c:pt idx="1">
                  <c:v>79</c:v>
                </c:pt>
                <c:pt idx="2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0F0-4900-ABB4-55F10BD8A8A6}"/>
            </c:ext>
          </c:extLst>
        </c:ser>
        <c:ser>
          <c:idx val="1"/>
          <c:order val="1"/>
          <c:tx>
            <c:strRef>
              <c:f>'Lista - validações'!$C$20</c:f>
              <c:strCache>
                <c:ptCount val="1"/>
                <c:pt idx="0">
                  <c:v>ENTREGUE</c:v>
                </c:pt>
              </c:strCache>
            </c:strRef>
          </c:tx>
          <c:spPr>
            <a:ln w="19050" cap="rnd" cmpd="sng" algn="ctr">
              <a:solidFill>
                <a:srgbClr val="FF0000"/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7EB46D1-B24D-4120-8451-143462DB0212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1-E913-43CE-9209-425428CD930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67E3641-4BD3-48CB-937C-7221B3703BF4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0-E913-43CE-9209-425428CD930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D587090-5177-4C22-AD98-77EDB8E09377}" type="VALUE">
                      <a:rPr lang="en-US">
                        <a:solidFill>
                          <a:schemeClr val="tx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4-E913-43CE-9209-425428CD93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6">
                        <a:tint val="77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'Lista - validações'!$A$21:$A$23</c:f>
              <c:strCache>
                <c:ptCount val="3"/>
                <c:pt idx="0">
                  <c:v>SP1</c:v>
                </c:pt>
                <c:pt idx="1">
                  <c:v>SP2</c:v>
                </c:pt>
                <c:pt idx="2">
                  <c:v>SP3</c:v>
                </c:pt>
              </c:strCache>
            </c:strRef>
          </c:cat>
          <c:val>
            <c:numRef>
              <c:f>'Lista - validações'!$C$21:$C$23</c:f>
              <c:numCache>
                <c:formatCode>General</c:formatCode>
                <c:ptCount val="3"/>
                <c:pt idx="0">
                  <c:v>79</c:v>
                </c:pt>
                <c:pt idx="1">
                  <c:v>79</c:v>
                </c:pt>
                <c:pt idx="2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0F0-4900-ABB4-55F10BD8A8A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2110038111"/>
        <c:axId val="2110039071"/>
      </c:lineChart>
      <c:catAx>
        <c:axId val="21100381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0039071"/>
        <c:crosses val="autoZero"/>
        <c:auto val="1"/>
        <c:lblAlgn val="ctr"/>
        <c:lblOffset val="100"/>
        <c:noMultiLvlLbl val="0"/>
      </c:catAx>
      <c:valAx>
        <c:axId val="2110039071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2110038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2391620</xdr:colOff>
      <xdr:row>0</xdr:row>
      <xdr:rowOff>48683</xdr:rowOff>
    </xdr:from>
    <xdr:to>
      <xdr:col>1</xdr:col>
      <xdr:colOff>6022551</xdr:colOff>
      <xdr:row>0</xdr:row>
      <xdr:rowOff>286808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A3A44F56-883B-2524-9CA5-81CAD82B160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t="39937" b="53648"/>
        <a:stretch>
          <a:fillRect/>
        </a:stretch>
      </xdr:blipFill>
      <xdr:spPr>
        <a:xfrm>
          <a:off x="5795220" y="48683"/>
          <a:ext cx="3630931" cy="238125"/>
        </a:xfrm>
        <a:prstGeom prst="rect">
          <a:avLst/>
        </a:prstGeom>
      </xdr:spPr>
    </xdr:pic>
    <xdr:clientData/>
  </xdr:twoCellAnchor>
  <xdr:twoCellAnchor>
    <xdr:from>
      <xdr:col>8</xdr:col>
      <xdr:colOff>594360</xdr:colOff>
      <xdr:row>8</xdr:row>
      <xdr:rowOff>106680</xdr:rowOff>
    </xdr:from>
    <xdr:to>
      <xdr:col>14</xdr:col>
      <xdr:colOff>0</xdr:colOff>
      <xdr:row>20</xdr:row>
      <xdr:rowOff>106680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98D3148-8B91-438A-A999-DFA77CA7D4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2" xr16:uid="{D6DEF4D0-A6A7-48C3-BE43-B7D08994E50A}" autoFormatId="16" applyNumberFormats="0" applyBorderFormats="0" applyFontFormats="0" applyPatternFormats="0" applyAlignmentFormats="0" applyWidthHeightFormats="0">
  <queryTableRefresh nextId="4">
    <queryTableFields count="3">
      <queryTableField id="1" name="Coluna1" tableColumnId="1"/>
      <queryTableField id="2" name="Atributo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EA6928-F3E9-41BC-B8A2-9403BBB8FB3D}" name="Tabela2" displayName="Tabela2" ref="A2:H36" totalsRowShown="0" headerRowDxfId="18" headerRowBorderDxfId="17">
  <tableColumns count="8">
    <tableColumn id="1" xr3:uid="{0DE55F2E-7BDE-405D-AB99-082B00C7800E}" name="REQUISITOS"/>
    <tableColumn id="2" xr3:uid="{FFD63478-5104-45C9-9386-12AB16A25B6F}" name="DESCRIÇÃO"/>
    <tableColumn id="3" xr3:uid="{08125C3E-EA5F-4155-ACAE-770B80CEED0E}" name="CLASSIFICAÇÃO" dataDxfId="16"/>
    <tableColumn id="4" xr3:uid="{3AF8E3A5-CBEB-44D0-AE62-DDC3EBBAAF48}" name="TAMANHO" dataDxfId="15"/>
    <tableColumn id="5" xr3:uid="{3DD8C727-E3CA-4892-939E-77922EDCF95B}" name="TAM(#)" dataDxfId="14"/>
    <tableColumn id="6" xr3:uid="{AA3286A9-3E52-4467-962C-21FC417479A4}" name="PRIORIDADE" dataDxfId="13"/>
    <tableColumn id="7" xr3:uid="{9D43AAEA-C548-4E16-BFAB-745FA685B2B8}" name="SPRINT" dataDxfId="12"/>
    <tableColumn id="8" xr3:uid="{9804B4FA-5D2B-4952-B850-FBE498C270E1}" name="STATUS" dataDxfId="11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A0150F-69CC-43C9-AFD9-0922C0ED3836}" name="Tabela" displayName="Tabela" ref="J2:N7" totalsRowShown="0" dataDxfId="10">
  <autoFilter ref="J2:N7" xr:uid="{B1A0150F-69CC-43C9-AFD9-0922C0ED3836}"/>
  <tableColumns count="5">
    <tableColumn id="1" xr3:uid="{310A472D-F5C0-4DF3-B173-CF5F58DC9751}" name="Coluna1" dataDxfId="9"/>
    <tableColumn id="2" xr3:uid="{F03E034F-D783-4073-A14B-AA3A899C3509}" name="PONTOS FIBONACCI" dataDxfId="8"/>
    <tableColumn id="3" xr3:uid="{39F8FE69-0D2F-46BC-9C40-46637A140C97}" name="PLANEJADO" dataDxfId="7"/>
    <tableColumn id="4" xr3:uid="{249FE57A-83AB-4990-9297-0CE1927E8A14}" name="ENTREGUE" dataDxfId="6"/>
    <tableColumn id="5" xr3:uid="{D136D6CB-B445-4F8C-AD8C-11AD44E04E76}" name="PENDENTE" dataDxfId="5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1F67404-895B-4702-A4D9-806BC3A85891}" name="Tabela_16" displayName="Tabela_16" ref="A8:C14" tableType="queryTable" totalsRowShown="0" headerRowDxfId="4" dataDxfId="3">
  <autoFilter ref="A8:C14" xr:uid="{B1F67404-895B-4702-A4D9-806BC3A85891}"/>
  <tableColumns count="3">
    <tableColumn id="1" xr3:uid="{0A907306-B608-4BF9-9118-8A0E2E995CDC}" uniqueName="1" name="Coluna1" queryTableFieldId="1" dataDxfId="2"/>
    <tableColumn id="2" xr3:uid="{0738075E-1FCA-4A6E-972C-10C344B0150C}" uniqueName="2" name="Atributo" queryTableFieldId="2" dataDxfId="1"/>
    <tableColumn id="3" xr3:uid="{2B1F54B9-D40D-41D1-AD3F-7312E6FF4D60}" uniqueName="3" name="Valor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44B03-923B-4AFE-8D99-0AB4AE36770F}">
  <dimension ref="A1:N36"/>
  <sheetViews>
    <sheetView showGridLines="0" tabSelected="1" topLeftCell="B1" zoomScale="90" zoomScaleNormal="90" workbookViewId="0">
      <selection activeCell="B10" sqref="B10"/>
    </sheetView>
  </sheetViews>
  <sheetFormatPr defaultRowHeight="14.4"/>
  <cols>
    <col min="1" max="1" width="49.6640625" bestFit="1" customWidth="1"/>
    <col min="2" max="2" width="127.88671875" bestFit="1" customWidth="1"/>
    <col min="3" max="3" width="20.33203125" bestFit="1" customWidth="1"/>
    <col min="4" max="4" width="14.77734375" bestFit="1" customWidth="1"/>
    <col min="5" max="5" width="11.88671875" bestFit="1" customWidth="1"/>
    <col min="6" max="6" width="17.109375" bestFit="1" customWidth="1"/>
    <col min="7" max="7" width="12.44140625" bestFit="1" customWidth="1"/>
    <col min="8" max="8" width="12.6640625" bestFit="1" customWidth="1"/>
    <col min="10" max="10" width="13.44140625" bestFit="1" customWidth="1"/>
    <col min="11" max="11" width="23.6640625" bestFit="1" customWidth="1"/>
    <col min="12" max="12" width="16.33203125" style="1" bestFit="1" customWidth="1"/>
    <col min="13" max="13" width="15.6640625" style="1" bestFit="1" customWidth="1"/>
    <col min="14" max="14" width="15.5546875" style="1" bestFit="1" customWidth="1"/>
    <col min="15" max="15" width="12.109375" customWidth="1"/>
    <col min="16" max="16" width="11" customWidth="1"/>
    <col min="17" max="17" width="10.33203125" customWidth="1"/>
  </cols>
  <sheetData>
    <row r="1" spans="1:14" ht="87.6" customHeight="1">
      <c r="A1" s="5"/>
      <c r="B1" s="26" t="s">
        <v>0</v>
      </c>
      <c r="C1" s="6"/>
      <c r="D1" s="6"/>
      <c r="E1" s="6"/>
      <c r="F1" s="6"/>
      <c r="G1" s="6"/>
      <c r="H1" s="15"/>
    </row>
    <row r="2" spans="1:14" s="4" customFormat="1" ht="24.6" customHeight="1">
      <c r="A2" s="8" t="s">
        <v>1</v>
      </c>
      <c r="B2" s="8" t="s">
        <v>2</v>
      </c>
      <c r="C2" s="8" t="s">
        <v>3</v>
      </c>
      <c r="D2" s="8" t="s">
        <v>4</v>
      </c>
      <c r="E2" s="8" t="s">
        <v>5</v>
      </c>
      <c r="F2" s="8" t="s">
        <v>6</v>
      </c>
      <c r="G2" s="8" t="s">
        <v>7</v>
      </c>
      <c r="H2" s="16" t="s">
        <v>8</v>
      </c>
      <c r="J2" s="11" t="s">
        <v>9</v>
      </c>
      <c r="K2" s="10" t="s">
        <v>10</v>
      </c>
      <c r="L2" s="10" t="s">
        <v>11</v>
      </c>
      <c r="M2" s="13" t="s">
        <v>12</v>
      </c>
      <c r="N2" s="14" t="s">
        <v>13</v>
      </c>
    </row>
    <row r="3" spans="1:14">
      <c r="A3" t="s">
        <v>14</v>
      </c>
      <c r="B3" t="s">
        <v>15</v>
      </c>
      <c r="C3" s="1" t="s">
        <v>16</v>
      </c>
      <c r="D3" s="1" t="s">
        <v>17</v>
      </c>
      <c r="E3" s="1">
        <v>8</v>
      </c>
      <c r="F3" s="1">
        <v>2</v>
      </c>
      <c r="G3" s="1" t="s">
        <v>18</v>
      </c>
      <c r="H3" s="1" t="s">
        <v>12</v>
      </c>
      <c r="J3" s="9" t="s">
        <v>19</v>
      </c>
      <c r="K3" s="12">
        <f>SUM($E$3:$E$36)</f>
        <v>299</v>
      </c>
      <c r="L3" s="2"/>
      <c r="M3" s="2"/>
      <c r="N3" s="25"/>
    </row>
    <row r="4" spans="1:14">
      <c r="A4" t="s">
        <v>20</v>
      </c>
      <c r="B4" t="s">
        <v>21</v>
      </c>
      <c r="C4" s="1" t="s">
        <v>22</v>
      </c>
      <c r="D4" s="1" t="s">
        <v>23</v>
      </c>
      <c r="E4" s="1">
        <v>5</v>
      </c>
      <c r="F4" s="1">
        <v>2</v>
      </c>
      <c r="G4" s="1" t="s">
        <v>18</v>
      </c>
      <c r="H4" s="1" t="s">
        <v>12</v>
      </c>
      <c r="J4" s="2" t="s">
        <v>18</v>
      </c>
      <c r="K4" s="12">
        <f>SUMIF($G$3:$G$36,J4,$E$3:$E$36)</f>
        <v>79</v>
      </c>
      <c r="L4" s="2">
        <f>SUMIF(Tabela2[SPRINT],J4,Tabela2[TAM('#)])</f>
        <v>79</v>
      </c>
      <c r="M4" s="2">
        <v>79</v>
      </c>
      <c r="N4" s="25">
        <f>L4-M4</f>
        <v>0</v>
      </c>
    </row>
    <row r="5" spans="1:14">
      <c r="A5" t="s">
        <v>24</v>
      </c>
      <c r="B5" t="s">
        <v>25</v>
      </c>
      <c r="C5" s="1" t="s">
        <v>16</v>
      </c>
      <c r="D5" s="1" t="s">
        <v>17</v>
      </c>
      <c r="E5" s="1">
        <v>8</v>
      </c>
      <c r="F5" s="1">
        <v>2</v>
      </c>
      <c r="G5" s="1" t="s">
        <v>18</v>
      </c>
      <c r="H5" s="1" t="s">
        <v>12</v>
      </c>
      <c r="J5" s="2" t="s">
        <v>26</v>
      </c>
      <c r="K5" s="12">
        <f>SUMIF($G$3:$G$36,J5,$E$3:$E$36)</f>
        <v>79</v>
      </c>
      <c r="L5" s="2">
        <f>SUMIF(Tabela2[SPRINT],J5,Tabela2[TAM('#)])</f>
        <v>79</v>
      </c>
      <c r="M5" s="2">
        <f>SUMIFS(Tabela2[TAM('#)],Tabela2[STATUS],$M$2,Tabela2[SPRINT],$J5)</f>
        <v>79</v>
      </c>
      <c r="N5" s="2">
        <f>L5-M5</f>
        <v>0</v>
      </c>
    </row>
    <row r="6" spans="1:14">
      <c r="A6" t="s">
        <v>27</v>
      </c>
      <c r="B6" t="s">
        <v>28</v>
      </c>
      <c r="C6" s="1" t="s">
        <v>29</v>
      </c>
      <c r="D6" s="1" t="s">
        <v>17</v>
      </c>
      <c r="E6" s="1">
        <v>8</v>
      </c>
      <c r="F6" s="1">
        <v>3</v>
      </c>
      <c r="G6" s="1" t="s">
        <v>18</v>
      </c>
      <c r="H6" s="1" t="s">
        <v>12</v>
      </c>
      <c r="J6" s="2" t="s">
        <v>30</v>
      </c>
      <c r="K6" s="12">
        <f>SUMIF($G$3:$G$36,J6,$E$3:$E$36)</f>
        <v>141</v>
      </c>
      <c r="L6" s="2">
        <f>SUMIF(Tabela2[SPRINT],J6,Tabela2[TAM('#)])</f>
        <v>141</v>
      </c>
      <c r="M6" s="2">
        <f>SUMIFS(Tabela2[TAM('#)],Tabela2[STATUS],$M$2,Tabela2[SPRINT],$J6)</f>
        <v>141</v>
      </c>
      <c r="N6" s="2">
        <f>L6-M6</f>
        <v>0</v>
      </c>
    </row>
    <row r="7" spans="1:14">
      <c r="A7" t="s">
        <v>31</v>
      </c>
      <c r="B7" t="s">
        <v>32</v>
      </c>
      <c r="C7" s="1" t="s">
        <v>29</v>
      </c>
      <c r="D7" s="1" t="s">
        <v>23</v>
      </c>
      <c r="E7" s="1">
        <v>5</v>
      </c>
      <c r="F7" s="1">
        <v>1</v>
      </c>
      <c r="G7" s="1" t="s">
        <v>18</v>
      </c>
      <c r="H7" s="1" t="s">
        <v>12</v>
      </c>
      <c r="J7" s="9" t="s">
        <v>33</v>
      </c>
      <c r="K7" s="24">
        <f>ROUND(AVERAGE($E$3:$E$36),2)</f>
        <v>8.7899999999999991</v>
      </c>
      <c r="L7" s="2"/>
      <c r="M7" s="2"/>
      <c r="N7" s="2"/>
    </row>
    <row r="8" spans="1:14">
      <c r="A8" t="s">
        <v>34</v>
      </c>
      <c r="B8" t="s">
        <v>35</v>
      </c>
      <c r="C8" s="1" t="s">
        <v>29</v>
      </c>
      <c r="D8" s="1" t="s">
        <v>36</v>
      </c>
      <c r="E8" s="1">
        <v>21</v>
      </c>
      <c r="F8" s="1">
        <v>2</v>
      </c>
      <c r="G8" s="1" t="s">
        <v>18</v>
      </c>
      <c r="H8" s="1" t="s">
        <v>12</v>
      </c>
      <c r="M8" s="3"/>
      <c r="N8" s="3"/>
    </row>
    <row r="9" spans="1:14">
      <c r="A9" t="s">
        <v>37</v>
      </c>
      <c r="B9" t="s">
        <v>38</v>
      </c>
      <c r="C9" s="1" t="s">
        <v>22</v>
      </c>
      <c r="D9" s="1" t="s">
        <v>39</v>
      </c>
      <c r="E9" s="1">
        <v>13</v>
      </c>
      <c r="F9" s="1">
        <v>2</v>
      </c>
      <c r="G9" s="1" t="s">
        <v>18</v>
      </c>
      <c r="H9" s="1" t="s">
        <v>12</v>
      </c>
    </row>
    <row r="10" spans="1:14">
      <c r="A10" t="s">
        <v>40</v>
      </c>
      <c r="B10" t="s">
        <v>41</v>
      </c>
      <c r="C10" s="1" t="s">
        <v>16</v>
      </c>
      <c r="D10" s="1" t="s">
        <v>42</v>
      </c>
      <c r="E10" s="1">
        <v>3</v>
      </c>
      <c r="F10" s="1">
        <v>1</v>
      </c>
      <c r="G10" s="1" t="s">
        <v>18</v>
      </c>
      <c r="H10" s="1" t="s">
        <v>12</v>
      </c>
    </row>
    <row r="11" spans="1:14">
      <c r="A11" t="s">
        <v>43</v>
      </c>
      <c r="B11" t="s">
        <v>44</v>
      </c>
      <c r="C11" s="1" t="s">
        <v>29</v>
      </c>
      <c r="D11" s="1" t="s">
        <v>17</v>
      </c>
      <c r="E11" s="1">
        <v>8</v>
      </c>
      <c r="F11" s="1">
        <v>3</v>
      </c>
      <c r="G11" s="1" t="s">
        <v>18</v>
      </c>
      <c r="H11" s="1" t="s">
        <v>12</v>
      </c>
    </row>
    <row r="12" spans="1:14">
      <c r="A12" t="s">
        <v>14</v>
      </c>
      <c r="B12" t="s">
        <v>45</v>
      </c>
      <c r="C12" s="1" t="s">
        <v>16</v>
      </c>
      <c r="D12" s="1" t="s">
        <v>17</v>
      </c>
      <c r="E12" s="1">
        <v>8</v>
      </c>
      <c r="F12" s="1">
        <v>3</v>
      </c>
      <c r="G12" s="1" t="s">
        <v>26</v>
      </c>
      <c r="H12" s="1" t="s">
        <v>12</v>
      </c>
    </row>
    <row r="13" spans="1:14">
      <c r="A13" t="s">
        <v>46</v>
      </c>
      <c r="B13" t="s">
        <v>47</v>
      </c>
      <c r="C13" s="1" t="s">
        <v>22</v>
      </c>
      <c r="D13" s="1" t="s">
        <v>39</v>
      </c>
      <c r="E13" s="1">
        <v>13</v>
      </c>
      <c r="F13" s="1">
        <v>2</v>
      </c>
      <c r="G13" s="1" t="s">
        <v>26</v>
      </c>
      <c r="H13" s="1" t="s">
        <v>12</v>
      </c>
    </row>
    <row r="14" spans="1:14">
      <c r="A14" t="s">
        <v>48</v>
      </c>
      <c r="B14" t="s">
        <v>49</v>
      </c>
      <c r="C14" s="1" t="s">
        <v>29</v>
      </c>
      <c r="D14" s="1" t="s">
        <v>17</v>
      </c>
      <c r="E14" s="1">
        <v>8</v>
      </c>
      <c r="F14" s="1">
        <v>2</v>
      </c>
      <c r="G14" s="1" t="s">
        <v>26</v>
      </c>
      <c r="H14" s="1" t="s">
        <v>12</v>
      </c>
    </row>
    <row r="15" spans="1:14">
      <c r="A15" t="s">
        <v>50</v>
      </c>
      <c r="B15" t="s">
        <v>51</v>
      </c>
      <c r="C15" s="1" t="s">
        <v>22</v>
      </c>
      <c r="D15" s="1" t="s">
        <v>39</v>
      </c>
      <c r="E15" s="1">
        <v>13</v>
      </c>
      <c r="F15" s="1">
        <v>3</v>
      </c>
      <c r="G15" s="1" t="s">
        <v>26</v>
      </c>
      <c r="H15" s="1" t="s">
        <v>12</v>
      </c>
    </row>
    <row r="16" spans="1:14">
      <c r="A16" t="s">
        <v>52</v>
      </c>
      <c r="B16" t="s">
        <v>53</v>
      </c>
      <c r="C16" s="1" t="s">
        <v>29</v>
      </c>
      <c r="D16" s="1" t="s">
        <v>17</v>
      </c>
      <c r="E16" s="1">
        <v>8</v>
      </c>
      <c r="F16" s="1">
        <v>2</v>
      </c>
      <c r="G16" s="1" t="s">
        <v>26</v>
      </c>
      <c r="H16" s="1" t="s">
        <v>12</v>
      </c>
    </row>
    <row r="17" spans="1:8">
      <c r="A17" t="s">
        <v>54</v>
      </c>
      <c r="B17" t="s">
        <v>55</v>
      </c>
      <c r="C17" s="1" t="s">
        <v>22</v>
      </c>
      <c r="D17" s="1" t="s">
        <v>17</v>
      </c>
      <c r="E17" s="1">
        <v>8</v>
      </c>
      <c r="F17" s="1">
        <v>2</v>
      </c>
      <c r="G17" s="1" t="s">
        <v>26</v>
      </c>
      <c r="H17" s="1" t="s">
        <v>12</v>
      </c>
    </row>
    <row r="18" spans="1:8">
      <c r="A18" t="s">
        <v>56</v>
      </c>
      <c r="B18" t="s">
        <v>57</v>
      </c>
      <c r="C18" s="1" t="s">
        <v>22</v>
      </c>
      <c r="D18" s="1" t="s">
        <v>17</v>
      </c>
      <c r="E18" s="1">
        <v>8</v>
      </c>
      <c r="F18" s="1">
        <v>2</v>
      </c>
      <c r="G18" s="1" t="s">
        <v>26</v>
      </c>
      <c r="H18" s="1" t="s">
        <v>12</v>
      </c>
    </row>
    <row r="19" spans="1:8">
      <c r="A19" t="s">
        <v>58</v>
      </c>
      <c r="B19" t="s">
        <v>59</v>
      </c>
      <c r="C19" s="1" t="s">
        <v>22</v>
      </c>
      <c r="D19" s="1" t="s">
        <v>17</v>
      </c>
      <c r="E19" s="1">
        <v>8</v>
      </c>
      <c r="F19" s="1">
        <v>2</v>
      </c>
      <c r="G19" s="1" t="s">
        <v>26</v>
      </c>
      <c r="H19" s="1" t="s">
        <v>12</v>
      </c>
    </row>
    <row r="20" spans="1:8">
      <c r="A20" t="s">
        <v>60</v>
      </c>
      <c r="B20" t="s">
        <v>61</v>
      </c>
      <c r="C20" s="1" t="s">
        <v>29</v>
      </c>
      <c r="D20" s="1" t="s">
        <v>23</v>
      </c>
      <c r="E20" s="1">
        <v>5</v>
      </c>
      <c r="F20" s="1">
        <v>3</v>
      </c>
      <c r="G20" s="1" t="s">
        <v>26</v>
      </c>
      <c r="H20" s="1" t="s">
        <v>12</v>
      </c>
    </row>
    <row r="21" spans="1:8">
      <c r="A21" t="s">
        <v>72</v>
      </c>
      <c r="B21" t="s">
        <v>73</v>
      </c>
      <c r="C21" s="1" t="s">
        <v>22</v>
      </c>
      <c r="D21" s="1" t="s">
        <v>17</v>
      </c>
      <c r="E21" s="1">
        <v>8</v>
      </c>
      <c r="F21" s="1">
        <v>2</v>
      </c>
      <c r="G21" s="1" t="s">
        <v>30</v>
      </c>
      <c r="H21" s="1" t="s">
        <v>12</v>
      </c>
    </row>
    <row r="22" spans="1:8">
      <c r="A22" t="s">
        <v>74</v>
      </c>
      <c r="B22" t="s">
        <v>75</v>
      </c>
      <c r="C22" s="1" t="s">
        <v>22</v>
      </c>
      <c r="D22" s="1" t="s">
        <v>23</v>
      </c>
      <c r="E22" s="1">
        <v>5</v>
      </c>
      <c r="F22" s="1">
        <v>1</v>
      </c>
      <c r="G22" s="1" t="s">
        <v>30</v>
      </c>
      <c r="H22" s="1" t="s">
        <v>12</v>
      </c>
    </row>
    <row r="23" spans="1:8">
      <c r="A23" t="s">
        <v>76</v>
      </c>
      <c r="B23" t="s">
        <v>77</v>
      </c>
      <c r="C23" s="1" t="s">
        <v>29</v>
      </c>
      <c r="D23" s="1" t="s">
        <v>42</v>
      </c>
      <c r="E23" s="1">
        <v>3</v>
      </c>
      <c r="F23" s="1">
        <v>2</v>
      </c>
      <c r="G23" s="1" t="s">
        <v>30</v>
      </c>
      <c r="H23" s="1" t="s">
        <v>12</v>
      </c>
    </row>
    <row r="24" spans="1:8">
      <c r="A24" t="s">
        <v>78</v>
      </c>
      <c r="B24" t="s">
        <v>79</v>
      </c>
      <c r="C24" s="1" t="s">
        <v>22</v>
      </c>
      <c r="D24" s="1" t="s">
        <v>39</v>
      </c>
      <c r="E24" s="1">
        <v>13</v>
      </c>
      <c r="F24" s="1">
        <v>1</v>
      </c>
      <c r="G24" s="1" t="s">
        <v>30</v>
      </c>
      <c r="H24" s="1" t="s">
        <v>12</v>
      </c>
    </row>
    <row r="25" spans="1:8">
      <c r="A25" t="s">
        <v>80</v>
      </c>
      <c r="B25" t="s">
        <v>81</v>
      </c>
      <c r="C25" s="1" t="s">
        <v>22</v>
      </c>
      <c r="D25" s="1" t="s">
        <v>39</v>
      </c>
      <c r="E25" s="1">
        <v>13</v>
      </c>
      <c r="F25" s="1">
        <v>1</v>
      </c>
      <c r="G25" s="1" t="s">
        <v>30</v>
      </c>
      <c r="H25" s="1" t="s">
        <v>12</v>
      </c>
    </row>
    <row r="26" spans="1:8">
      <c r="A26" t="s">
        <v>82</v>
      </c>
      <c r="B26" t="s">
        <v>83</v>
      </c>
      <c r="C26" s="1" t="s">
        <v>22</v>
      </c>
      <c r="D26" s="1" t="s">
        <v>23</v>
      </c>
      <c r="E26" s="1">
        <v>5</v>
      </c>
      <c r="F26" s="1">
        <v>1</v>
      </c>
      <c r="G26" s="1" t="s">
        <v>30</v>
      </c>
      <c r="H26" s="1" t="s">
        <v>12</v>
      </c>
    </row>
    <row r="27" spans="1:8">
      <c r="A27" t="s">
        <v>84</v>
      </c>
      <c r="B27" t="s">
        <v>85</v>
      </c>
      <c r="C27" s="1" t="s">
        <v>22</v>
      </c>
      <c r="D27" s="1" t="s">
        <v>39</v>
      </c>
      <c r="E27" s="1">
        <v>13</v>
      </c>
      <c r="F27" s="1">
        <v>1</v>
      </c>
      <c r="G27" s="1" t="s">
        <v>30</v>
      </c>
      <c r="H27" s="1" t="s">
        <v>12</v>
      </c>
    </row>
    <row r="28" spans="1:8">
      <c r="A28" t="s">
        <v>86</v>
      </c>
      <c r="B28" t="s">
        <v>87</v>
      </c>
      <c r="C28" s="1" t="s">
        <v>22</v>
      </c>
      <c r="D28" s="1" t="s">
        <v>23</v>
      </c>
      <c r="E28" s="1">
        <v>5</v>
      </c>
      <c r="F28" s="1">
        <v>1</v>
      </c>
      <c r="G28" s="1" t="s">
        <v>30</v>
      </c>
      <c r="H28" s="1" t="s">
        <v>12</v>
      </c>
    </row>
    <row r="29" spans="1:8">
      <c r="A29" t="s">
        <v>88</v>
      </c>
      <c r="B29" t="s">
        <v>89</v>
      </c>
      <c r="C29" s="1" t="s">
        <v>22</v>
      </c>
      <c r="D29" s="1" t="s">
        <v>17</v>
      </c>
      <c r="E29" s="1">
        <v>8</v>
      </c>
      <c r="F29" s="1">
        <v>1</v>
      </c>
      <c r="G29" s="1" t="s">
        <v>30</v>
      </c>
      <c r="H29" s="1" t="s">
        <v>12</v>
      </c>
    </row>
    <row r="30" spans="1:8">
      <c r="A30" t="s">
        <v>90</v>
      </c>
      <c r="B30" t="s">
        <v>91</v>
      </c>
      <c r="C30" s="1" t="s">
        <v>22</v>
      </c>
      <c r="D30" s="1" t="s">
        <v>23</v>
      </c>
      <c r="E30" s="1">
        <v>5</v>
      </c>
      <c r="F30" s="1">
        <v>1</v>
      </c>
      <c r="G30" s="1" t="s">
        <v>30</v>
      </c>
      <c r="H30" s="1" t="s">
        <v>12</v>
      </c>
    </row>
    <row r="31" spans="1:8">
      <c r="A31" t="s">
        <v>92</v>
      </c>
      <c r="B31" t="s">
        <v>93</v>
      </c>
      <c r="C31" s="1" t="s">
        <v>22</v>
      </c>
      <c r="D31" s="1" t="s">
        <v>17</v>
      </c>
      <c r="E31" s="1">
        <v>8</v>
      </c>
      <c r="F31" s="1">
        <v>1</v>
      </c>
      <c r="G31" s="1" t="s">
        <v>30</v>
      </c>
      <c r="H31" s="1" t="s">
        <v>12</v>
      </c>
    </row>
    <row r="32" spans="1:8">
      <c r="A32" t="s">
        <v>94</v>
      </c>
      <c r="B32" t="s">
        <v>95</v>
      </c>
      <c r="C32" s="1" t="s">
        <v>22</v>
      </c>
      <c r="D32" s="1" t="s">
        <v>39</v>
      </c>
      <c r="E32" s="1">
        <v>13</v>
      </c>
      <c r="F32" s="1">
        <v>1</v>
      </c>
      <c r="G32" s="1" t="s">
        <v>30</v>
      </c>
      <c r="H32" s="1" t="s">
        <v>12</v>
      </c>
    </row>
    <row r="33" spans="1:8">
      <c r="A33" t="s">
        <v>96</v>
      </c>
      <c r="B33" t="s">
        <v>97</v>
      </c>
      <c r="C33" s="1" t="s">
        <v>22</v>
      </c>
      <c r="D33" s="1" t="s">
        <v>39</v>
      </c>
      <c r="E33" s="1">
        <v>13</v>
      </c>
      <c r="F33" s="1">
        <v>1</v>
      </c>
      <c r="G33" s="1" t="s">
        <v>30</v>
      </c>
      <c r="H33" s="1" t="s">
        <v>12</v>
      </c>
    </row>
    <row r="34" spans="1:8">
      <c r="A34" t="s">
        <v>71</v>
      </c>
      <c r="B34" t="s">
        <v>62</v>
      </c>
      <c r="C34" s="1" t="s">
        <v>22</v>
      </c>
      <c r="D34" s="1" t="s">
        <v>39</v>
      </c>
      <c r="E34" s="1">
        <v>13</v>
      </c>
      <c r="F34" s="1">
        <v>3</v>
      </c>
      <c r="G34" s="1" t="s">
        <v>30</v>
      </c>
      <c r="H34" s="1" t="s">
        <v>12</v>
      </c>
    </row>
    <row r="35" spans="1:8">
      <c r="A35" s="22" t="s">
        <v>63</v>
      </c>
      <c r="B35" s="22" t="s">
        <v>64</v>
      </c>
      <c r="C35" s="23" t="s">
        <v>29</v>
      </c>
      <c r="D35" s="1" t="s">
        <v>17</v>
      </c>
      <c r="E35" s="1">
        <v>8</v>
      </c>
      <c r="F35" s="1">
        <v>2</v>
      </c>
      <c r="G35" s="1" t="s">
        <v>30</v>
      </c>
      <c r="H35" s="1" t="s">
        <v>12</v>
      </c>
    </row>
    <row r="36" spans="1:8">
      <c r="A36" s="22" t="s">
        <v>65</v>
      </c>
      <c r="B36" s="22" t="s">
        <v>66</v>
      </c>
      <c r="C36" s="23" t="s">
        <v>16</v>
      </c>
      <c r="D36" s="1" t="s">
        <v>17</v>
      </c>
      <c r="E36" s="1">
        <v>8</v>
      </c>
      <c r="F36" s="1">
        <v>1</v>
      </c>
      <c r="G36" s="1" t="s">
        <v>30</v>
      </c>
      <c r="H36" s="1" t="s">
        <v>12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2">
    <tablePart r:id="rId3"/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524FE3C-4B8B-40A4-B475-13B25C2453B6}">
          <x14:formula1>
            <xm:f>'Lista - validações'!$A$2:$A$6</xm:f>
          </x14:formula1>
          <xm:sqref>D3:D36</xm:sqref>
        </x14:dataValidation>
        <x14:dataValidation type="list" allowBlank="1" showInputMessage="1" showErrorMessage="1" xr:uid="{0521648B-37EF-44B0-BC8C-15BDEE9F5389}">
          <x14:formula1>
            <xm:f>'Lista - validações'!$B$2:$B$6</xm:f>
          </x14:formula1>
          <xm:sqref>E3:E36</xm:sqref>
        </x14:dataValidation>
        <x14:dataValidation type="list" allowBlank="1" showInputMessage="1" showErrorMessage="1" xr:uid="{4CD2968B-4110-4B19-8048-4CBD7F3EEB11}">
          <x14:formula1>
            <xm:f>'Lista - validações'!$C$2:$C$3</xm:f>
          </x14:formula1>
          <xm:sqref>H3:H36</xm:sqref>
        </x14:dataValidation>
        <x14:dataValidation type="list" allowBlank="1" showInputMessage="1" showErrorMessage="1" xr:uid="{4356CA9A-8686-440C-917A-689F0E50EDF0}">
          <x14:formula1>
            <xm:f>'Lista - validações'!$E$2:$E$4</xm:f>
          </x14:formula1>
          <xm:sqref>C3:C36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5BF91-9825-4D85-9FE6-93751A9861A5}">
  <dimension ref="A1:H23"/>
  <sheetViews>
    <sheetView workbookViewId="0">
      <selection activeCell="E12" sqref="E12"/>
    </sheetView>
  </sheetViews>
  <sheetFormatPr defaultColWidth="8.88671875" defaultRowHeight="14.4"/>
  <cols>
    <col min="1" max="2" width="12.21875" style="18" bestFit="1" customWidth="1"/>
    <col min="3" max="3" width="9.88671875" style="18" bestFit="1" customWidth="1"/>
    <col min="4" max="4" width="8.88671875" style="18"/>
    <col min="5" max="5" width="14.21875" style="18" bestFit="1" customWidth="1"/>
    <col min="6" max="7" width="12.33203125" style="18" bestFit="1" customWidth="1"/>
    <col min="8" max="8" width="9.6640625" style="18" bestFit="1" customWidth="1"/>
    <col min="9" max="16384" width="8.88671875" style="18"/>
  </cols>
  <sheetData>
    <row r="1" spans="1:8">
      <c r="A1" s="17" t="s">
        <v>4</v>
      </c>
      <c r="B1" s="17" t="s">
        <v>67</v>
      </c>
      <c r="C1" s="17" t="s">
        <v>8</v>
      </c>
      <c r="E1" s="29" t="s">
        <v>3</v>
      </c>
    </row>
    <row r="2" spans="1:8">
      <c r="A2" s="7" t="s">
        <v>42</v>
      </c>
      <c r="B2" s="7">
        <v>3</v>
      </c>
      <c r="C2" s="7" t="s">
        <v>12</v>
      </c>
      <c r="E2" s="27" t="s">
        <v>22</v>
      </c>
    </row>
    <row r="3" spans="1:8">
      <c r="A3" s="7" t="s">
        <v>23</v>
      </c>
      <c r="B3" s="7">
        <v>5</v>
      </c>
      <c r="C3" s="7" t="s">
        <v>13</v>
      </c>
      <c r="E3" s="28" t="s">
        <v>16</v>
      </c>
    </row>
    <row r="4" spans="1:8">
      <c r="A4" s="7" t="s">
        <v>17</v>
      </c>
      <c r="B4" s="7">
        <v>8</v>
      </c>
      <c r="C4" s="7"/>
      <c r="E4" s="28" t="s">
        <v>29</v>
      </c>
    </row>
    <row r="5" spans="1:8">
      <c r="A5" s="7" t="s">
        <v>39</v>
      </c>
      <c r="B5" s="7">
        <v>13</v>
      </c>
      <c r="C5" s="7"/>
    </row>
    <row r="6" spans="1:8">
      <c r="A6" s="7" t="s">
        <v>36</v>
      </c>
      <c r="B6" s="7">
        <v>21</v>
      </c>
      <c r="C6" s="7"/>
    </row>
    <row r="8" spans="1:8">
      <c r="A8" s="18" t="s">
        <v>9</v>
      </c>
      <c r="B8" s="18" t="s">
        <v>68</v>
      </c>
      <c r="C8" s="18" t="s">
        <v>69</v>
      </c>
    </row>
    <row r="9" spans="1:8">
      <c r="A9" s="18" t="s">
        <v>18</v>
      </c>
      <c r="B9" s="18" t="s">
        <v>11</v>
      </c>
      <c r="C9">
        <f>Backlog_AGGRAN!L4</f>
        <v>79</v>
      </c>
      <c r="H9"/>
    </row>
    <row r="10" spans="1:8">
      <c r="A10" s="18" t="s">
        <v>18</v>
      </c>
      <c r="B10" s="18" t="s">
        <v>12</v>
      </c>
      <c r="C10">
        <f>Backlog_AGGRAN!M4</f>
        <v>79</v>
      </c>
      <c r="H10"/>
    </row>
    <row r="11" spans="1:8">
      <c r="A11" s="18" t="s">
        <v>26</v>
      </c>
      <c r="B11" s="18" t="s">
        <v>11</v>
      </c>
      <c r="C11">
        <f>Backlog_AGGRAN!L5</f>
        <v>79</v>
      </c>
      <c r="H11"/>
    </row>
    <row r="12" spans="1:8">
      <c r="A12" s="18" t="s">
        <v>26</v>
      </c>
      <c r="B12" s="18" t="s">
        <v>12</v>
      </c>
      <c r="C12">
        <f>Backlog_AGGRAN!M5</f>
        <v>79</v>
      </c>
      <c r="H12"/>
    </row>
    <row r="13" spans="1:8">
      <c r="A13" s="18" t="s">
        <v>30</v>
      </c>
      <c r="B13" s="18" t="s">
        <v>11</v>
      </c>
      <c r="C13">
        <v>144</v>
      </c>
      <c r="H13"/>
    </row>
    <row r="14" spans="1:8">
      <c r="A14" s="18" t="s">
        <v>30</v>
      </c>
      <c r="B14" s="18" t="s">
        <v>12</v>
      </c>
      <c r="C14">
        <f>Backlog_AGGRAN!M6</f>
        <v>141</v>
      </c>
      <c r="H14"/>
    </row>
    <row r="20" spans="1:3">
      <c r="A20" s="18" t="s">
        <v>70</v>
      </c>
      <c r="B20" s="19" t="s">
        <v>11</v>
      </c>
      <c r="C20" s="20" t="s">
        <v>12</v>
      </c>
    </row>
    <row r="21" spans="1:3">
      <c r="A21" s="21" t="s">
        <v>18</v>
      </c>
      <c r="B21" s="18">
        <f>SUMIFS(C9:C14,A9:A14,A21,B9:B14,B$20)</f>
        <v>79</v>
      </c>
      <c r="C21" s="18">
        <f>SUMIFS(C9:C14,A9:A14,A21,B9:B14,C$20)</f>
        <v>79</v>
      </c>
    </row>
    <row r="22" spans="1:3">
      <c r="A22" s="21" t="s">
        <v>26</v>
      </c>
      <c r="B22" s="18">
        <f>SUMIFS(C10:C15,A10:A15,A22,B10:B15,B$20)</f>
        <v>79</v>
      </c>
      <c r="C22" s="18">
        <f>SUMIFS(C9:C14,A9:A14,A22,B9:B14,C$20)</f>
        <v>79</v>
      </c>
    </row>
    <row r="23" spans="1:3">
      <c r="A23" s="21" t="s">
        <v>30</v>
      </c>
      <c r="B23" s="18">
        <f>SUMIFS(C11:C16,A11:A16,A23,B11:B16,B$20)</f>
        <v>144</v>
      </c>
      <c r="C23" s="18">
        <f t="shared" ref="C23" si="0">SUMIFS(C11:C16,A11:A16,A23,B11:B16,C$20)</f>
        <v>141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6FF80C7-5690-4C60-8231-37AF59A55C3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Backlog_AGGRAN</vt:lpstr>
      <vt:lpstr>Lista - validações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Wesley Daniel Oliveira Souza da Silva</dc:creator>
  <cp:keywords/>
  <dc:description/>
  <cp:lastModifiedBy>Samara Vicky Mendonça</cp:lastModifiedBy>
  <cp:revision/>
  <dcterms:created xsi:type="dcterms:W3CDTF">2025-09-29T21:44:10Z</dcterms:created>
  <dcterms:modified xsi:type="dcterms:W3CDTF">2025-12-04T12:39:54Z</dcterms:modified>
  <cp:category/>
  <cp:contentStatus/>
</cp:coreProperties>
</file>